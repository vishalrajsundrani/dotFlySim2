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Drone" sheetId="2" state="visible" r:id="rId4"/>
    <sheet name="Tower and Line" sheetId="3" state="visible" r:id="rId5"/>
    <sheet name="Customise"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<sst xmlns="http://schemas.openxmlformats.org/spreadsheetml/2006/main" count="231" uniqueCount="179">
  <si>
    <t xml:space="preserve">dotFlySim2 - are the default models real-world scale?</t>
  </si>
  <si>
    <t xml:space="preserve">Model measured from the SDF and mesh files on 2026-09-29; reference figures from manufacturer and industry sources (Sources tab).</t>
  </si>
  <si>
    <t xml:space="preserve">VERDICT</t>
  </si>
  <si>
    <t xml:space="preserve">Subject</t>
  </si>
  <si>
    <t xml:space="preserve">Verdict</t>
  </si>
  <si>
    <t xml:space="preserve">Why</t>
  </si>
  <si>
    <t xml:space="preserve">DJI Matrice 4E airframe</t>
  </si>
  <si>
    <t xml:space="preserve">ACCURATE</t>
  </si>
  <si>
    <t xml:space="preserve">Body footprint within 2% of DJI's published unfolded dimensions; takeoff mass exact (1.219 kg); propeller within 2% of the 10.8 in factory prop. Body height is 14% over (171 vs 149.5 mm) - see Drone tab.</t>
  </si>
  <si>
    <t xml:space="preserve">220 kV tower</t>
  </si>
  <si>
    <t xml:space="preserve">PLAUSIBLE, SLIGHTLY SLIM</t>
  </si>
  <si>
    <t xml:space="preserve">36.0 m against a 32 m typical figure, inside the 35-45 m design band for 220 kV. Base 7.2 m follows the base = height/5 rule exactly, but sits below the 8-14 m band quoted for real 220 kV lattice towers, so the tower is slimmer than typical.</t>
  </si>
  <si>
    <t xml:space="preserve">Conductors and clearances</t>
  </si>
  <si>
    <t xml:space="preserve">Conductor 28.6 mm = ACSR Zebra (28.62 mm), the standard 220 kV conductor. Phase spacing 5.0-5.5 m and insulator string 2.4 m are both typical. Lowest conductor 13.1 m at mid-span, comfortably above the 7.0 m statutory minimum.</t>
  </si>
  <si>
    <t xml:space="preserve">Span length</t>
  </si>
  <si>
    <t xml:space="preserve">SHORT BUT VALID</t>
  </si>
  <si>
    <t xml:space="preserve">200 m against a real 220 kV range of 200-400 m, most often 300-350 m. Valid, but the corridor has more towers per kilometre than a real line.</t>
  </si>
  <si>
    <t xml:space="preserve">THE ONE THING TO KNOW</t>
  </si>
  <si>
    <t xml:space="preserve">The drone is genuinely to scale and needs no correction. The line is built from real 220 kV engineering figures and is internally consistent, but two choices sit at the edge of typical practice: a 7.2 m base (slim) and a 200 m span (short). Both are single parameters in tools/gen_powerline.py and regenerate in seconds - nothing is baked into the world file.</t>
  </si>
  <si>
    <t xml:space="preserve">DJI Matrice 4E - model vs real aircraft</t>
  </si>
  <si>
    <t xml:space="preserve">Model figures measured from models/m4e/model.sdf and meshes/m4_faceless.dae. Delta, Delta % and Verdict are formulas.</t>
  </si>
  <si>
    <t xml:space="preserve">Parameter</t>
  </si>
  <si>
    <t xml:space="preserve">Model</t>
  </si>
  <si>
    <t xml:space="preserve">Real M4E</t>
  </si>
  <si>
    <t xml:space="preserve">Unit</t>
  </si>
  <si>
    <t xml:space="preserve">Delta</t>
  </si>
  <si>
    <t xml:space="preserve">Delta %</t>
  </si>
  <si>
    <t xml:space="preserve">Notes</t>
  </si>
  <si>
    <t xml:space="preserve">Body length (world X)</t>
  </si>
  <si>
    <t xml:space="preserve">mm</t>
  </si>
  <si>
    <t xml:space="preserve">Mesh is yawed -90 deg in the SDF, so the mesh X axis becomes world Y. Measured mesh extent 387 x 312 x 171 mm maps to world 312 (L) x 387 (W) x 171 (H).</t>
  </si>
  <si>
    <t xml:space="preserve">Body width (world Y)</t>
  </si>
  <si>
    <t xml:space="preserve">Essentially exact.</t>
  </si>
  <si>
    <t xml:space="preserve">Body height (world Z)</t>
  </si>
  <si>
    <t xml:space="preserve">The only real discrepancy. Most likely the mesh includes the gimbal and feet where DJI's 149.5 mm is the airframe body. Cosmetic: nothing measures against body height.</t>
  </si>
  <si>
    <t xml:space="preserve">Takeoff mass</t>
  </si>
  <si>
    <t xml:space="preserve">kg</t>
  </si>
  <si>
    <t xml:space="preserve">Exact match to DJI's takeoff weight with propellers.</t>
  </si>
  <si>
    <t xml:space="preserve">Propeller diameter</t>
  </si>
  <si>
    <t xml:space="preserve">Model uses an x500 1345 prop mesh scaled 0.846. Real prop is DJI 1157F, 10.8 in = 274.3 mm.</t>
  </si>
  <si>
    <t xml:space="preserve">Rotor wheelbase (diagonal)</t>
  </si>
  <si>
    <t xml:space="preserve">DJI does not publish a diagonal wheelbase. 440 mm is what the airframe was built around and is consistent with the published footprint; reference, not independently verified.</t>
  </si>
  <si>
    <t xml:space="preserve">Collision box length</t>
  </si>
  <si>
    <t xml:space="preserve">Derived, not published: rotor X span 280 mm + one propeller diameter. The box is sized to the propeller disc, not the body, so contact is detected when a blade would strike.</t>
  </si>
  <si>
    <t xml:space="preserve">Collision box width</t>
  </si>
  <si>
    <t xml:space="preserve">Rotor Y span 361 mm + one propeller diameter.</t>
  </si>
  <si>
    <t xml:space="preserve">Verdict rule: OK within 5%, CHECK within 15%, OFF beyond.</t>
  </si>
  <si>
    <t xml:space="preserve">220 kV double-circuit line - model vs real practice</t>
  </si>
  <si>
    <t xml:space="preserve">Model figures from tools/gen_powerline.py --list and the generated meshes.</t>
  </si>
  <si>
    <t xml:space="preserve">Real / typical</t>
  </si>
  <si>
    <t xml:space="preserve">Tower height (to earth peak)</t>
  </si>
  <si>
    <t xml:space="preserve">m</t>
  </si>
  <si>
    <t xml:space="preserve">CHECK</t>
  </si>
  <si>
    <t xml:space="preserve">32 m is commonly quoted for a 220 kV double-circuit tower; the usual design range is 35-45 m. 36.0 m sits just inside that range: tall-but-normal, not wrong.</t>
  </si>
  <si>
    <t xml:space="preserve">Base width (leg spread)</t>
  </si>
  <si>
    <t xml:space="preserve">Real 220 kV lattice bases run roughly 8-14 m, 9 m typical. The standard design rule is base = height/5, which for 36 m gives exactly 7.2 m. The model follows the rule; the quoted band suggests real towers of this height are built wider.</t>
  </si>
  <si>
    <t xml:space="preserve">Body top (below earth peak)</t>
  </si>
  <si>
    <t xml:space="preserve">n/a</t>
  </si>
  <si>
    <t xml:space="preserve">Model geometry; no single real reference.</t>
  </si>
  <si>
    <t xml:space="preserve">Waist width</t>
  </si>
  <si>
    <t xml:space="preserve">Body width above the taper, at 18 m.</t>
  </si>
  <si>
    <t xml:space="preserve">Lowest crossarm height</t>
  </si>
  <si>
    <t xml:space="preserve">Half-length 5.60 m.</t>
  </si>
  <si>
    <t xml:space="preserve">Middle crossarm height</t>
  </si>
  <si>
    <t xml:space="preserve">Half-length 6.40 m - widest arm, 12.8 m tip to tip.</t>
  </si>
  <si>
    <t xml:space="preserve">Top crossarm height</t>
  </si>
  <si>
    <t xml:space="preserve">Half-length 5.20 m.</t>
  </si>
  <si>
    <t xml:space="preserve">Vertical phase spacing</t>
  </si>
  <si>
    <t xml:space="preserve">OK</t>
  </si>
  <si>
    <t xml:space="preserve">5.00 m and 5.47 m between the three conductor levels. Typical 220 kV vertical phase spacing is around 5-6 m.</t>
  </si>
  <si>
    <t xml:space="preserve">Span (tower to tower)</t>
  </si>
  <si>
    <t xml:space="preserve">OFF</t>
  </si>
  <si>
    <t xml:space="preserve">Real 220 kV spans run 200-400 m, most often 300-350 m. 200 m is valid but at the short end, so the corridor carries more towers per kilometre than a real line.</t>
  </si>
  <si>
    <t xml:space="preserve">Conductor diameter</t>
  </si>
  <si>
    <t xml:space="preserve">ACSR Zebra, the standard 220 kV conductor: 54 aluminium + 7 steel strands, 28.62 mm overall.</t>
  </si>
  <si>
    <t xml:space="preserve">Earth wire diameter</t>
  </si>
  <si>
    <t xml:space="preserve">OPGW earth wires are typically 11-15 mm.</t>
  </si>
  <si>
    <t xml:space="preserve">Insulator string length</t>
  </si>
  <si>
    <t xml:space="preserve">A 220 kV suspension string is typically 14-16 cap-and-pin discs at ~145 mm, roughly 2.0-2.3 m plus fittings.</t>
  </si>
  <si>
    <t xml:space="preserve">Conductor sag at mid-span</t>
  </si>
  <si>
    <t xml:space="preserve">Gives a catenary parameter a = 1111.9 m, physically sensible for this span.</t>
  </si>
  <si>
    <t xml:space="preserve">Lowest conductor above ground</t>
  </si>
  <si>
    <t xml:space="preserve">7.0 m is the statutory MINIMUM ground clearance for 220 kV. 13.1 m at mid-span is comfortably compliant, as a real line would be.</t>
  </si>
  <si>
    <t xml:space="preserve">World layout</t>
  </si>
  <si>
    <t xml:space="preserve">5 towers at x = 60, 260, 460, 660, 860 m  -&gt;  4 spans, 800 m of corridor</t>
  </si>
  <si>
    <t xml:space="preserve">Where to change the sizes yourself</t>
  </si>
  <si>
    <t xml:space="preserve">Yellow = the file you edit. Everything else is generated from it.</t>
  </si>
  <si>
    <t xml:space="preserve">What to change</t>
  </si>
  <si>
    <t xml:space="preserve">File</t>
  </si>
  <si>
    <t xml:space="preserve">Parameter / element</t>
  </si>
  <si>
    <t xml:space="preserve">How</t>
  </si>
  <si>
    <t xml:space="preserve">Warning</t>
  </si>
  <si>
    <t xml:space="preserve">TOWER height</t>
  </si>
  <si>
    <t xml:space="preserve">tools/gen_powerline.py</t>
  </si>
  <si>
    <t xml:space="preserve">--height  (default 36.0)</t>
  </si>
  <si>
    <t xml:space="preserve">python3 tools/gen_powerline.py --height 42</t>
  </si>
  <si>
    <t xml:space="preserve">Regenerates mesh, crossarms, insulators and collision boxes together. Editing the SDF by hand desynchronises them.</t>
  </si>
  <si>
    <t xml:space="preserve">TOWER base width</t>
  </si>
  <si>
    <t xml:space="preserve">--base  (default 7.2)</t>
  </si>
  <si>
    <t xml:space="preserve">python3 tools/gen_powerline.py --base 9.0</t>
  </si>
  <si>
    <t xml:space="preserve">Design rule is base = height/5. Keep them consistent or the tower looks wrong.</t>
  </si>
  <si>
    <t xml:space="preserve">TOWER waist</t>
  </si>
  <si>
    <t xml:space="preserve">--waist 2.6, --waist-height 18.0</t>
  </si>
  <si>
    <t xml:space="preserve">python3 tools/gen_powerline.py --waist 3.0</t>
  </si>
  <si>
    <t xml:space="preserve">SPAN length</t>
  </si>
  <si>
    <t xml:space="preserve">--span  (default 200.0)</t>
  </si>
  <si>
    <t xml:space="preserve">python3 tools/gen_powerline.py --span 320</t>
  </si>
  <si>
    <t xml:space="preserve">MUST also update the tower poses in worlds/powerline.sdf, hard-coded at 60/260/460/660/860 m. The span mesh and the world spacing are separate.</t>
  </si>
  <si>
    <t xml:space="preserve">CONDUCTOR sag</t>
  </si>
  <si>
    <t xml:space="preserve">--sag  (default 4.5)</t>
  </si>
  <si>
    <t xml:space="preserve">python3 tools/gen_powerline.py --sag 7.0</t>
  </si>
  <si>
    <t xml:space="preserve">Sag scales with span. A long span with small sag is not physical.</t>
  </si>
  <si>
    <t xml:space="preserve">CONDUCTOR diameter</t>
  </si>
  <si>
    <t xml:space="preserve">--conductor  (default 28.6 mm)</t>
  </si>
  <si>
    <t xml:space="preserve">python3 tools/gen_powerline.py --conductor 31.77</t>
  </si>
  <si>
    <t xml:space="preserve">28.6 = ACSR Zebra. 31.77 = ACSR Moose, used on some 220 kV and most 400 kV lines.</t>
  </si>
  <si>
    <t xml:space="preserve">INSULATOR string</t>
  </si>
  <si>
    <t xml:space="preserve">--insulator  (default 2.4 m)</t>
  </si>
  <si>
    <t xml:space="preserve">python3 tools/gen_powerline.py --insulator 2.1</t>
  </si>
  <si>
    <t xml:space="preserve">TOWER positions / count</t>
  </si>
  <si>
    <t xml:space="preserve">worlds/powerline.sdf</t>
  </si>
  <si>
    <t xml:space="preserve">&lt;include&gt;&lt;pose&gt; of hv_tower_220kv</t>
  </si>
  <si>
    <t xml:space="preserve">Edit the five &lt;pose&gt; lines; add or remove &lt;include&gt; blocks.</t>
  </si>
  <si>
    <t xml:space="preserve">&lt;scale&gt; is NOT valid inside &lt;include&gt; in SDF - it is silently ignored, so you cannot resize a tower from the world file. Use the generator.</t>
  </si>
  <si>
    <t xml:space="preserve">DRONE body size</t>
  </si>
  <si>
    <t xml:space="preserve">models/m4e/model.sdf</t>
  </si>
  <si>
    <t xml:space="preserve">&lt;scale&gt; on the visual mesh (now 1 1 1)</t>
  </si>
  <si>
    <t xml:space="preserve">Change the scale, or replace meshes/m4_faceless.dae.</t>
  </si>
  <si>
    <t xml:space="preserve">Scaling the visual mesh does NOT move the rotors or resize the collision box. Those are separate and must be changed together.</t>
  </si>
  <si>
    <t xml:space="preserve">DRONE rotor geometry</t>
  </si>
  <si>
    <t xml:space="preserve">&lt;pose&gt; of rotor_0 .. rotor_3</t>
  </si>
  <si>
    <t xml:space="preserve">Now (0.11551, 0.18056), (-0.165, 0.15826), (-0.165, -0.15826), (0.11551, -0.18056).</t>
  </si>
  <si>
    <t xml:space="preserve">MUST match CA_ROTOR*_PX / _PY in models/m4e/walker.toml, which is what PX4's mixer uses. If they disagree the aircraft flies but trims oddly.</t>
  </si>
  <si>
    <t xml:space="preserve">DRONE rotor geometry (PX4)</t>
  </si>
  <si>
    <t xml:space="preserve">models/m4e/walker.toml</t>
  </si>
  <si>
    <t xml:space="preserve">[airframe.params] CA_ROTOR0_PX ...</t>
  </si>
  <si>
    <t xml:space="preserve">Keep in step with the SDF rotor poses above.</t>
  </si>
  <si>
    <t xml:space="preserve">This is what the flight controller believes; the SDF is what physics applies.</t>
  </si>
  <si>
    <t xml:space="preserve">DRONE collision envelope</t>
  </si>
  <si>
    <t xml:space="preserve">&lt;collision&gt; box size 0.64 0.56 0.13</t>
  </si>
  <si>
    <t xml:space="preserve">Sized to the propeller disc, not the body.</t>
  </si>
  <si>
    <t xml:space="preserve">If you change the wheelbase or propeller, recompute: rotor span + one propeller diameter.</t>
  </si>
  <si>
    <t xml:space="preserve">DRONE mass</t>
  </si>
  <si>
    <t xml:space="preserve">&lt;mass&gt;1.2190&lt;/mass&gt;</t>
  </si>
  <si>
    <t xml:space="preserve">Matches DJI's 1219 g takeoff weight.</t>
  </si>
  <si>
    <t xml:space="preserve">Changing it without changing MPC_THR_HOVER in walker.toml makes the aircraft climb or sink on neutral throttle.</t>
  </si>
  <si>
    <t xml:space="preserve">After regenerating:</t>
  </si>
  <si>
    <t xml:space="preserve">restart the simulation from walker (s) - the composer copies the models in at start.</t>
  </si>
  <si>
    <t xml:space="preserve">Where the reference figures came from</t>
  </si>
  <si>
    <t xml:space="preserve">Figure</t>
  </si>
  <si>
    <t xml:space="preserve">Value used</t>
  </si>
  <si>
    <t xml:space="preserve">Source</t>
  </si>
  <si>
    <t xml:space="preserve">M4E unfolded dimensions</t>
  </si>
  <si>
    <t xml:space="preserve">307.0 x 387.5 x 149.5 mm</t>
  </si>
  <si>
    <t xml:space="preserve">DJI Matrice 4 Series specifications, enterprise.dji.com/matrice-4-series/specs</t>
  </si>
  <si>
    <t xml:space="preserve">M4E takeoff weight</t>
  </si>
  <si>
    <t xml:space="preserve">1219 g</t>
  </si>
  <si>
    <t xml:space="preserve">DJI Matrice 4 Series specifications</t>
  </si>
  <si>
    <t xml:space="preserve">M4E propeller</t>
  </si>
  <si>
    <t xml:space="preserve">model 1157F, 10.8 in (274.3 mm)</t>
  </si>
  <si>
    <t xml:space="preserve">DJI Matrice 4 Series propeller listings</t>
  </si>
  <si>
    <t xml:space="preserve">220 kV tower height</t>
  </si>
  <si>
    <t xml:space="preserve">32 m quoted; 35-45 m design range</t>
  </si>
  <si>
    <t xml:space="preserve">220 kV transmission tower design literature; range also stated in tools/gen_powerline.py</t>
  </si>
  <si>
    <t xml:space="preserve">220 kV tower base width</t>
  </si>
  <si>
    <t xml:space="preserve">8-14 m, 9 m typical; base = height/5</t>
  </si>
  <si>
    <t xml:space="preserve">Transmission tower design references (Western Renewables Link tower guide; 220 kV parametric design studies)</t>
  </si>
  <si>
    <t xml:space="preserve">ACSR Zebra conductor</t>
  </si>
  <si>
    <t xml:space="preserve">28.62 mm overall, 54/7 strands, 220 kV</t>
  </si>
  <si>
    <t xml:space="preserve">ACSR conductor specifications (TGTRANSCO technical specification; conductor data sheets)</t>
  </si>
  <si>
    <t xml:space="preserve">220 kV ground clearance</t>
  </si>
  <si>
    <t xml:space="preserve">7.0 m minimum</t>
  </si>
  <si>
    <t xml:space="preserve">Transmission line clearance standards</t>
  </si>
  <si>
    <t xml:space="preserve">220 kV span length</t>
  </si>
  <si>
    <t xml:space="preserve">200-400 m, typically 300-350 m</t>
  </si>
  <si>
    <t xml:space="preserve">Transmission line design practice; range also stated in tools/gen_powerline.py</t>
  </si>
  <si>
    <t xml:space="preserve">Model figures</t>
  </si>
  <si>
    <t xml:space="preserve">measured 2026-09-29</t>
  </si>
  <si>
    <t xml:space="preserve">models/m4e/model.sdf; models/m4e/meshes/m4_faceless.dae (COLLADA POSITION arrays); models/hv_tower_220kv/meshes/tower_steel.obj; tools/gen_powerline.py --list</t>
  </si>
</sst>
</file>

<file path=xl/styles.xml><?xml version="1.0" encoding="utf-8"?>
<styleSheet xmlns="http://schemas.openxmlformats.org/spreadsheetml/2006/main">
  <numFmts count="5">
    <numFmt numFmtId="164" formatCode="General"/>
    <numFmt numFmtId="165" formatCode="0.0"/>
    <numFmt numFmtId="166" formatCode="0.0%"/>
    <numFmt numFmtId="167" formatCode="0.000"/>
    <numFmt numFmtId="168"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FCE4EC"/>
      </patternFill>
    </fill>
    <fill>
      <patternFill patternType="solid">
        <fgColor rgb="FFFCE4EC"/>
        <bgColor rgb="FFFFF2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false">
      <alignment horizontal="general" vertical="center" textRotation="0" wrapText="false" indent="0" shrinkToFit="false"/>
      <protection locked="true" hidden="false"/>
    </xf>
    <xf numFmtId="167" fontId="9" fillId="0" borderId="1" xfId="0" applyFont="true" applyBorder="true" applyAlignment="true" applyProtection="false">
      <alignment horizontal="general" vertical="center" textRotation="0" wrapText="false" indent="0" shrinkToFit="false"/>
      <protection locked="true" hidden="false"/>
    </xf>
    <xf numFmtId="168" fontId="9" fillId="0" borderId="1" xfId="0" applyFont="true" applyBorder="true" applyAlignment="true" applyProtection="false">
      <alignment horizontal="general" vertical="center" textRotation="0" wrapText="fals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4" fontId="9" fillId="6"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6" customFormat="false" ht="30" hidden="false" customHeight="true" outlineLevel="0" collapsed="false">
      <c r="A6" s="4" t="s">
        <v>3</v>
      </c>
      <c r="B6" s="4" t="s">
        <v>4</v>
      </c>
      <c r="C6" s="4" t="s">
        <v>5</v>
      </c>
    </row>
    <row r="7" customFormat="false" ht="57.75" hidden="false" customHeight="true" outlineLevel="0" collapsed="false">
      <c r="A7" s="5" t="s">
        <v>6</v>
      </c>
      <c r="B7" s="6" t="s">
        <v>7</v>
      </c>
      <c r="C7" s="7" t="s">
        <v>8</v>
      </c>
    </row>
    <row r="8" customFormat="false" ht="57.75" hidden="false" customHeight="true" outlineLevel="0" collapsed="false">
      <c r="A8" s="5" t="s">
        <v>9</v>
      </c>
      <c r="B8" s="8" t="s">
        <v>10</v>
      </c>
      <c r="C8" s="7" t="s">
        <v>11</v>
      </c>
    </row>
    <row r="9" customFormat="false" ht="57.75" hidden="false" customHeight="true" outlineLevel="0" collapsed="false">
      <c r="A9" s="5" t="s">
        <v>12</v>
      </c>
      <c r="B9" s="6" t="s">
        <v>7</v>
      </c>
      <c r="C9" s="7" t="s">
        <v>13</v>
      </c>
    </row>
    <row r="10" customFormat="false" ht="57.75" hidden="false" customHeight="true" outlineLevel="0" collapsed="false">
      <c r="A10" s="5" t="s">
        <v>14</v>
      </c>
      <c r="B10" s="8" t="s">
        <v>15</v>
      </c>
      <c r="C10" s="7" t="s">
        <v>16</v>
      </c>
    </row>
    <row r="12" customFormat="false" ht="15" hidden="false" customHeight="false" outlineLevel="0" collapsed="false">
      <c r="A12" s="3" t="s">
        <v>17</v>
      </c>
    </row>
    <row r="13" customFormat="false" ht="15" hidden="false" customHeight="true" outlineLevel="0" collapsed="false">
      <c r="A13" s="9" t="s">
        <v>18</v>
      </c>
      <c r="B13" s="9"/>
      <c r="C13" s="9"/>
    </row>
    <row r="14" customFormat="false" ht="15" hidden="false" customHeight="false" outlineLevel="0" collapsed="false">
      <c r="A14" s="9"/>
      <c r="B14" s="9"/>
      <c r="C14" s="9"/>
    </row>
    <row r="15" customFormat="false" ht="15" hidden="false" customHeight="false" outlineLevel="0" collapsed="false">
      <c r="A15" s="9"/>
      <c r="B15" s="9"/>
      <c r="C15" s="9"/>
    </row>
  </sheetData>
  <mergeCells count="1">
    <mergeCell ref="A13: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4" min="4" style="0" width="8"/>
    <col collapsed="false" customWidth="true" hidden="false" outlineLevel="0" max="6" min="5" style="0" width="10"/>
    <col collapsed="false" customWidth="true" hidden="false" outlineLevel="0" max="7" min="7" style="0" width="12"/>
    <col collapsed="false" customWidth="true" hidden="false" outlineLevel="0" max="8" min="8" style="0" width="62"/>
  </cols>
  <sheetData>
    <row r="1" customFormat="false" ht="17.35" hidden="false" customHeight="false" outlineLevel="0" collapsed="false">
      <c r="A1" s="1" t="s">
        <v>19</v>
      </c>
    </row>
    <row r="2" customFormat="false" ht="15" hidden="false" customHeight="false" outlineLevel="0" collapsed="false">
      <c r="A2" s="2" t="s">
        <v>20</v>
      </c>
    </row>
    <row r="4" customFormat="false" ht="30" hidden="false" customHeight="true" outlineLevel="0" collapsed="false">
      <c r="A4" s="4" t="s">
        <v>21</v>
      </c>
      <c r="B4" s="4" t="s">
        <v>22</v>
      </c>
      <c r="C4" s="4" t="s">
        <v>23</v>
      </c>
      <c r="D4" s="4" t="s">
        <v>24</v>
      </c>
      <c r="E4" s="4" t="s">
        <v>25</v>
      </c>
      <c r="F4" s="4" t="s">
        <v>26</v>
      </c>
      <c r="G4" s="4" t="s">
        <v>4</v>
      </c>
      <c r="H4" s="4" t="s">
        <v>27</v>
      </c>
    </row>
    <row r="5" customFormat="false" ht="43.5" hidden="false" customHeight="true" outlineLevel="0" collapsed="false">
      <c r="A5" s="5" t="s">
        <v>28</v>
      </c>
      <c r="B5" s="10" t="n">
        <v>312</v>
      </c>
      <c r="C5" s="10" t="n">
        <v>307</v>
      </c>
      <c r="D5" s="11" t="s">
        <v>29</v>
      </c>
      <c r="E5" s="10" t="n">
        <f aca="false">B5-C5</f>
        <v>5</v>
      </c>
      <c r="F5" s="12" t="n">
        <f aca="false">IF(C5=0,"",(B5-C5)/C5)</f>
        <v>0.0162866449511401</v>
      </c>
      <c r="G5" s="5" t="str">
        <f aca="false">IF(C5=0,"n/a",IF(ABS((B5-C5)/C5)&lt;=0.05,"OK",IF(ABS((B5-C5)/C5)&lt;=0.15,"CHECK","OFF")))</f>
        <v>OK</v>
      </c>
      <c r="H5" s="7" t="s">
        <v>30</v>
      </c>
    </row>
    <row r="6" customFormat="false" ht="43.5" hidden="false" customHeight="true" outlineLevel="0" collapsed="false">
      <c r="A6" s="5" t="s">
        <v>31</v>
      </c>
      <c r="B6" s="10" t="n">
        <v>387</v>
      </c>
      <c r="C6" s="10" t="n">
        <v>387.5</v>
      </c>
      <c r="D6" s="11" t="s">
        <v>29</v>
      </c>
      <c r="E6" s="10" t="n">
        <f aca="false">B6-C6</f>
        <v>-0.5</v>
      </c>
      <c r="F6" s="12" t="n">
        <f aca="false">IF(C6=0,"",(B6-C6)/C6)</f>
        <v>-0.00129032258064516</v>
      </c>
      <c r="G6" s="5" t="str">
        <f aca="false">IF(C6=0,"n/a",IF(ABS((B6-C6)/C6)&lt;=0.05,"OK",IF(ABS((B6-C6)/C6)&lt;=0.15,"CHECK","OFF")))</f>
        <v>OK</v>
      </c>
      <c r="H6" s="7" t="s">
        <v>32</v>
      </c>
    </row>
    <row r="7" customFormat="false" ht="43.5" hidden="false" customHeight="true" outlineLevel="0" collapsed="false">
      <c r="A7" s="5" t="s">
        <v>33</v>
      </c>
      <c r="B7" s="10" t="n">
        <v>171</v>
      </c>
      <c r="C7" s="10" t="n">
        <v>149.5</v>
      </c>
      <c r="D7" s="11" t="s">
        <v>29</v>
      </c>
      <c r="E7" s="10" t="n">
        <f aca="false">B7-C7</f>
        <v>21.5</v>
      </c>
      <c r="F7" s="12" t="n">
        <f aca="false">IF(C7=0,"",(B7-C7)/C7)</f>
        <v>0.1438127090301</v>
      </c>
      <c r="G7" s="5" t="str">
        <f aca="false">IF(C7=0,"n/a",IF(ABS((B7-C7)/C7)&lt;=0.05,"OK",IF(ABS((B7-C7)/C7)&lt;=0.15,"CHECK","OFF")))</f>
        <v>CHECK</v>
      </c>
      <c r="H7" s="7" t="s">
        <v>34</v>
      </c>
    </row>
    <row r="8" customFormat="false" ht="43.5" hidden="false" customHeight="true" outlineLevel="0" collapsed="false">
      <c r="A8" s="5" t="s">
        <v>35</v>
      </c>
      <c r="B8" s="13" t="n">
        <v>1.219</v>
      </c>
      <c r="C8" s="13" t="n">
        <v>1.219</v>
      </c>
      <c r="D8" s="11" t="s">
        <v>36</v>
      </c>
      <c r="E8" s="13" t="n">
        <f aca="false">B8-C8</f>
        <v>0</v>
      </c>
      <c r="F8" s="12" t="n">
        <f aca="false">IF(C8=0,"",(B8-C8)/C8)</f>
        <v>0</v>
      </c>
      <c r="G8" s="5" t="str">
        <f aca="false">IF(C8=0,"n/a",IF(ABS((B8-C8)/C8)&lt;=0.05,"OK",IF(ABS((B8-C8)/C8)&lt;=0.15,"CHECK","OFF")))</f>
        <v>OK</v>
      </c>
      <c r="H8" s="7" t="s">
        <v>37</v>
      </c>
    </row>
    <row r="9" customFormat="false" ht="43.5" hidden="false" customHeight="true" outlineLevel="0" collapsed="false">
      <c r="A9" s="5" t="s">
        <v>38</v>
      </c>
      <c r="B9" s="10" t="n">
        <v>279.2</v>
      </c>
      <c r="C9" s="10" t="n">
        <v>274.3</v>
      </c>
      <c r="D9" s="11" t="s">
        <v>29</v>
      </c>
      <c r="E9" s="10" t="n">
        <f aca="false">B9-C9</f>
        <v>4.89999999999998</v>
      </c>
      <c r="F9" s="12" t="n">
        <f aca="false">IF(C9=0,"",(B9-C9)/C9)</f>
        <v>0.0178636529347429</v>
      </c>
      <c r="G9" s="5" t="str">
        <f aca="false">IF(C9=0,"n/a",IF(ABS((B9-C9)/C9)&lt;=0.05,"OK",IF(ABS((B9-C9)/C9)&lt;=0.15,"CHECK","OFF")))</f>
        <v>OK</v>
      </c>
      <c r="H9" s="7" t="s">
        <v>39</v>
      </c>
    </row>
    <row r="10" customFormat="false" ht="43.5" hidden="false" customHeight="true" outlineLevel="0" collapsed="false">
      <c r="A10" s="5" t="s">
        <v>40</v>
      </c>
      <c r="B10" s="10" t="n">
        <v>440</v>
      </c>
      <c r="C10" s="10" t="n">
        <v>440</v>
      </c>
      <c r="D10" s="11" t="s">
        <v>29</v>
      </c>
      <c r="E10" s="10" t="n">
        <f aca="false">B10-C10</f>
        <v>0</v>
      </c>
      <c r="F10" s="12" t="n">
        <f aca="false">IF(C10=0,"",(B10-C10)/C10)</f>
        <v>0</v>
      </c>
      <c r="G10" s="5" t="str">
        <f aca="false">IF(C10=0,"n/a",IF(ABS((B10-C10)/C10)&lt;=0.05,"OK",IF(ABS((B10-C10)/C10)&lt;=0.15,"CHECK","OFF")))</f>
        <v>OK</v>
      </c>
      <c r="H10" s="7" t="s">
        <v>41</v>
      </c>
    </row>
    <row r="11" customFormat="false" ht="43.5" hidden="false" customHeight="true" outlineLevel="0" collapsed="false">
      <c r="A11" s="5" t="s">
        <v>42</v>
      </c>
      <c r="B11" s="10" t="n">
        <v>560</v>
      </c>
      <c r="C11" s="10" t="n">
        <v>554</v>
      </c>
      <c r="D11" s="11" t="s">
        <v>29</v>
      </c>
      <c r="E11" s="10" t="n">
        <f aca="false">B11-C11</f>
        <v>6</v>
      </c>
      <c r="F11" s="12" t="n">
        <f aca="false">IF(C11=0,"",(B11-C11)/C11)</f>
        <v>0.0108303249097473</v>
      </c>
      <c r="G11" s="5" t="str">
        <f aca="false">IF(C11=0,"n/a",IF(ABS((B11-C11)/C11)&lt;=0.05,"OK",IF(ABS((B11-C11)/C11)&lt;=0.15,"CHECK","OFF")))</f>
        <v>OK</v>
      </c>
      <c r="H11" s="7" t="s">
        <v>43</v>
      </c>
    </row>
    <row r="12" customFormat="false" ht="43.5" hidden="false" customHeight="true" outlineLevel="0" collapsed="false">
      <c r="A12" s="5" t="s">
        <v>44</v>
      </c>
      <c r="B12" s="10" t="n">
        <v>640</v>
      </c>
      <c r="C12" s="10" t="n">
        <v>635</v>
      </c>
      <c r="D12" s="11" t="s">
        <v>29</v>
      </c>
      <c r="E12" s="10" t="n">
        <f aca="false">B12-C12</f>
        <v>5</v>
      </c>
      <c r="F12" s="12" t="n">
        <f aca="false">IF(C12=0,"",(B12-C12)/C12)</f>
        <v>0.0078740157480315</v>
      </c>
      <c r="G12" s="5" t="str">
        <f aca="false">IF(C12=0,"n/a",IF(ABS((B12-C12)/C12)&lt;=0.05,"OK",IF(ABS((B12-C12)/C12)&lt;=0.15,"CHECK","OFF")))</f>
        <v>OK</v>
      </c>
      <c r="H12" s="7" t="s">
        <v>45</v>
      </c>
    </row>
    <row r="14" customFormat="false" ht="15" hidden="false" customHeight="false" outlineLevel="0" collapsed="false">
      <c r="A14" s="2"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6"/>
    <col collapsed="false" customWidth="true" hidden="false" outlineLevel="0" max="4" min="4" style="0" width="8"/>
    <col collapsed="false" customWidth="true" hidden="false" outlineLevel="0" max="5" min="5" style="0" width="10"/>
    <col collapsed="false" customWidth="true" hidden="false" outlineLevel="0" max="6" min="6" style="0" width="14"/>
    <col collapsed="false" customWidth="true" hidden="false" outlineLevel="0" max="7" min="7" style="0" width="66"/>
  </cols>
  <sheetData>
    <row r="1" customFormat="false" ht="17.35" hidden="false" customHeight="false" outlineLevel="0" collapsed="false">
      <c r="A1" s="1" t="s">
        <v>47</v>
      </c>
    </row>
    <row r="2" customFormat="false" ht="15" hidden="false" customHeight="false" outlineLevel="0" collapsed="false">
      <c r="A2" s="2" t="s">
        <v>48</v>
      </c>
    </row>
    <row r="4" customFormat="false" ht="30" hidden="false" customHeight="true" outlineLevel="0" collapsed="false">
      <c r="A4" s="4" t="s">
        <v>21</v>
      </c>
      <c r="B4" s="4" t="s">
        <v>22</v>
      </c>
      <c r="C4" s="4" t="s">
        <v>49</v>
      </c>
      <c r="D4" s="4" t="s">
        <v>24</v>
      </c>
      <c r="E4" s="4" t="s">
        <v>26</v>
      </c>
      <c r="F4" s="4" t="s">
        <v>4</v>
      </c>
      <c r="G4" s="4" t="s">
        <v>27</v>
      </c>
    </row>
    <row r="5" customFormat="false" ht="45.75" hidden="false" customHeight="true" outlineLevel="0" collapsed="false">
      <c r="A5" s="5" t="s">
        <v>50</v>
      </c>
      <c r="B5" s="14" t="n">
        <v>36</v>
      </c>
      <c r="C5" s="14" t="n">
        <v>32</v>
      </c>
      <c r="D5" s="11" t="s">
        <v>51</v>
      </c>
      <c r="E5" s="12" t="n">
        <f aca="false">(B5-C5)/C5</f>
        <v>0.125</v>
      </c>
      <c r="F5" s="8" t="s">
        <v>52</v>
      </c>
      <c r="G5" s="7" t="s">
        <v>53</v>
      </c>
    </row>
    <row r="6" customFormat="false" ht="45.75" hidden="false" customHeight="true" outlineLevel="0" collapsed="false">
      <c r="A6" s="5" t="s">
        <v>54</v>
      </c>
      <c r="B6" s="14" t="n">
        <v>7.2</v>
      </c>
      <c r="C6" s="14" t="n">
        <v>9</v>
      </c>
      <c r="D6" s="11" t="s">
        <v>51</v>
      </c>
      <c r="E6" s="12" t="n">
        <f aca="false">(B6-C6)/C6</f>
        <v>-0.2</v>
      </c>
      <c r="F6" s="8" t="s">
        <v>52</v>
      </c>
      <c r="G6" s="7" t="s">
        <v>55</v>
      </c>
    </row>
    <row r="7" customFormat="false" ht="45.75" hidden="false" customHeight="true" outlineLevel="0" collapsed="false">
      <c r="A7" s="5" t="s">
        <v>56</v>
      </c>
      <c r="B7" s="14" t="n">
        <v>32</v>
      </c>
      <c r="C7" s="11" t="s">
        <v>57</v>
      </c>
      <c r="D7" s="11" t="s">
        <v>51</v>
      </c>
      <c r="E7" s="12"/>
      <c r="F7" s="5" t="s">
        <v>57</v>
      </c>
      <c r="G7" s="7" t="s">
        <v>58</v>
      </c>
    </row>
    <row r="8" customFormat="false" ht="45.75" hidden="false" customHeight="true" outlineLevel="0" collapsed="false">
      <c r="A8" s="5" t="s">
        <v>59</v>
      </c>
      <c r="B8" s="14" t="n">
        <v>2.6</v>
      </c>
      <c r="C8" s="11" t="s">
        <v>57</v>
      </c>
      <c r="D8" s="11" t="s">
        <v>51</v>
      </c>
      <c r="E8" s="12"/>
      <c r="F8" s="5" t="s">
        <v>57</v>
      </c>
      <c r="G8" s="7" t="s">
        <v>60</v>
      </c>
    </row>
    <row r="9" customFormat="false" ht="45.75" hidden="false" customHeight="true" outlineLevel="0" collapsed="false">
      <c r="A9" s="5" t="s">
        <v>61</v>
      </c>
      <c r="B9" s="14" t="n">
        <v>20.02</v>
      </c>
      <c r="C9" s="11" t="s">
        <v>57</v>
      </c>
      <c r="D9" s="11" t="s">
        <v>51</v>
      </c>
      <c r="E9" s="12"/>
      <c r="F9" s="5" t="s">
        <v>57</v>
      </c>
      <c r="G9" s="7" t="s">
        <v>62</v>
      </c>
    </row>
    <row r="10" customFormat="false" ht="45.75" hidden="false" customHeight="true" outlineLevel="0" collapsed="false">
      <c r="A10" s="5" t="s">
        <v>63</v>
      </c>
      <c r="B10" s="14" t="n">
        <v>25.49</v>
      </c>
      <c r="C10" s="11" t="s">
        <v>57</v>
      </c>
      <c r="D10" s="11" t="s">
        <v>51</v>
      </c>
      <c r="E10" s="12"/>
      <c r="F10" s="5" t="s">
        <v>57</v>
      </c>
      <c r="G10" s="7" t="s">
        <v>64</v>
      </c>
    </row>
    <row r="11" customFormat="false" ht="45.75" hidden="false" customHeight="true" outlineLevel="0" collapsed="false">
      <c r="A11" s="5" t="s">
        <v>65</v>
      </c>
      <c r="B11" s="14" t="n">
        <v>30.49</v>
      </c>
      <c r="C11" s="11" t="s">
        <v>57</v>
      </c>
      <c r="D11" s="11" t="s">
        <v>51</v>
      </c>
      <c r="E11" s="12"/>
      <c r="F11" s="5" t="s">
        <v>57</v>
      </c>
      <c r="G11" s="7" t="s">
        <v>66</v>
      </c>
    </row>
    <row r="12" customFormat="false" ht="45.75" hidden="false" customHeight="true" outlineLevel="0" collapsed="false">
      <c r="A12" s="5" t="s">
        <v>67</v>
      </c>
      <c r="B12" s="14" t="n">
        <v>5</v>
      </c>
      <c r="C12" s="14" t="n">
        <v>5.5</v>
      </c>
      <c r="D12" s="11" t="s">
        <v>51</v>
      </c>
      <c r="E12" s="12" t="n">
        <f aca="false">(B12-C12)/C12</f>
        <v>-0.0909090909090909</v>
      </c>
      <c r="F12" s="6" t="s">
        <v>68</v>
      </c>
      <c r="G12" s="7" t="s">
        <v>69</v>
      </c>
    </row>
    <row r="13" customFormat="false" ht="45.75" hidden="false" customHeight="true" outlineLevel="0" collapsed="false">
      <c r="A13" s="5" t="s">
        <v>70</v>
      </c>
      <c r="B13" s="14" t="n">
        <v>200</v>
      </c>
      <c r="C13" s="14" t="n">
        <v>325</v>
      </c>
      <c r="D13" s="11" t="s">
        <v>51</v>
      </c>
      <c r="E13" s="12" t="n">
        <f aca="false">(B13-C13)/C13</f>
        <v>-0.384615384615385</v>
      </c>
      <c r="F13" s="15" t="s">
        <v>71</v>
      </c>
      <c r="G13" s="7" t="s">
        <v>72</v>
      </c>
    </row>
    <row r="14" customFormat="false" ht="45.75" hidden="false" customHeight="true" outlineLevel="0" collapsed="false">
      <c r="A14" s="5" t="s">
        <v>73</v>
      </c>
      <c r="B14" s="14" t="n">
        <v>28.6</v>
      </c>
      <c r="C14" s="14" t="n">
        <v>28.62</v>
      </c>
      <c r="D14" s="11" t="s">
        <v>29</v>
      </c>
      <c r="E14" s="12" t="n">
        <f aca="false">(B14-C14)/C14</f>
        <v>-0.000698812019566722</v>
      </c>
      <c r="F14" s="6" t="s">
        <v>68</v>
      </c>
      <c r="G14" s="7" t="s">
        <v>74</v>
      </c>
    </row>
    <row r="15" customFormat="false" ht="45.75" hidden="false" customHeight="true" outlineLevel="0" collapsed="false">
      <c r="A15" s="5" t="s">
        <v>75</v>
      </c>
      <c r="B15" s="14" t="n">
        <v>14</v>
      </c>
      <c r="C15" s="14" t="n">
        <v>13</v>
      </c>
      <c r="D15" s="11" t="s">
        <v>29</v>
      </c>
      <c r="E15" s="12" t="n">
        <f aca="false">(B15-C15)/C15</f>
        <v>0.0769230769230769</v>
      </c>
      <c r="F15" s="6" t="s">
        <v>68</v>
      </c>
      <c r="G15" s="7" t="s">
        <v>76</v>
      </c>
    </row>
    <row r="16" customFormat="false" ht="45.75" hidden="false" customHeight="true" outlineLevel="0" collapsed="false">
      <c r="A16" s="5" t="s">
        <v>77</v>
      </c>
      <c r="B16" s="14" t="n">
        <v>2.4</v>
      </c>
      <c r="C16" s="14" t="n">
        <v>2.3</v>
      </c>
      <c r="D16" s="11" t="s">
        <v>51</v>
      </c>
      <c r="E16" s="12" t="n">
        <f aca="false">(B16-C16)/C16</f>
        <v>0.0434782608695653</v>
      </c>
      <c r="F16" s="6" t="s">
        <v>68</v>
      </c>
      <c r="G16" s="7" t="s">
        <v>78</v>
      </c>
    </row>
    <row r="17" customFormat="false" ht="45.75" hidden="false" customHeight="true" outlineLevel="0" collapsed="false">
      <c r="A17" s="5" t="s">
        <v>79</v>
      </c>
      <c r="B17" s="14" t="n">
        <v>4.5</v>
      </c>
      <c r="C17" s="11" t="s">
        <v>57</v>
      </c>
      <c r="D17" s="11" t="s">
        <v>51</v>
      </c>
      <c r="E17" s="12"/>
      <c r="F17" s="5" t="s">
        <v>57</v>
      </c>
      <c r="G17" s="7" t="s">
        <v>80</v>
      </c>
    </row>
    <row r="18" customFormat="false" ht="45.75" hidden="false" customHeight="true" outlineLevel="0" collapsed="false">
      <c r="A18" s="5" t="s">
        <v>81</v>
      </c>
      <c r="B18" s="14" t="n">
        <v>13.12</v>
      </c>
      <c r="C18" s="14" t="n">
        <v>7</v>
      </c>
      <c r="D18" s="11" t="s">
        <v>51</v>
      </c>
      <c r="E18" s="12" t="n">
        <f aca="false">(B18-C18)/C18</f>
        <v>0.874285714285714</v>
      </c>
      <c r="F18" s="6" t="s">
        <v>68</v>
      </c>
      <c r="G18" s="7" t="s">
        <v>82</v>
      </c>
    </row>
    <row r="20" customFormat="false" ht="15" hidden="false" customHeight="false" outlineLevel="0" collapsed="false">
      <c r="A20" s="5" t="s">
        <v>83</v>
      </c>
      <c r="B20" s="11" t="s">
        <v>84</v>
      </c>
      <c r="C20" s="11"/>
      <c r="D20" s="11"/>
      <c r="E20" s="11"/>
      <c r="F20" s="11"/>
      <c r="G20" s="11"/>
    </row>
  </sheetData>
  <mergeCells count="1">
    <mergeCell ref="B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34"/>
    <col collapsed="false" customWidth="true" hidden="false" outlineLevel="0" max="4" min="4" style="0" width="46"/>
    <col collapsed="false" customWidth="true" hidden="false" outlineLevel="0" max="5" min="5" style="0" width="52"/>
  </cols>
  <sheetData>
    <row r="1" customFormat="false" ht="17.35" hidden="false" customHeight="false" outlineLevel="0" collapsed="false">
      <c r="A1" s="1" t="s">
        <v>85</v>
      </c>
    </row>
    <row r="2" customFormat="false" ht="15" hidden="false" customHeight="false" outlineLevel="0" collapsed="false">
      <c r="A2" s="2" t="s">
        <v>86</v>
      </c>
    </row>
    <row r="4" customFormat="false" ht="30" hidden="false" customHeight="true" outlineLevel="0" collapsed="false">
      <c r="A4" s="4" t="s">
        <v>87</v>
      </c>
      <c r="B4" s="4" t="s">
        <v>88</v>
      </c>
      <c r="C4" s="4" t="s">
        <v>89</v>
      </c>
      <c r="D4" s="4" t="s">
        <v>90</v>
      </c>
      <c r="E4" s="4" t="s">
        <v>91</v>
      </c>
    </row>
    <row r="5" customFormat="false" ht="45.75" hidden="false" customHeight="true" outlineLevel="0" collapsed="false">
      <c r="A5" s="5" t="s">
        <v>92</v>
      </c>
      <c r="B5" s="16" t="s">
        <v>93</v>
      </c>
      <c r="C5" s="11" t="s">
        <v>94</v>
      </c>
      <c r="D5" s="7" t="s">
        <v>95</v>
      </c>
      <c r="E5" s="7" t="s">
        <v>96</v>
      </c>
    </row>
    <row r="6" customFormat="false" ht="45.75" hidden="false" customHeight="true" outlineLevel="0" collapsed="false">
      <c r="A6" s="5" t="s">
        <v>97</v>
      </c>
      <c r="B6" s="16" t="s">
        <v>93</v>
      </c>
      <c r="C6" s="11" t="s">
        <v>98</v>
      </c>
      <c r="D6" s="7" t="s">
        <v>99</v>
      </c>
      <c r="E6" s="7" t="s">
        <v>100</v>
      </c>
    </row>
    <row r="7" customFormat="false" ht="45.75" hidden="false" customHeight="true" outlineLevel="0" collapsed="false">
      <c r="A7" s="5" t="s">
        <v>101</v>
      </c>
      <c r="B7" s="16" t="s">
        <v>93</v>
      </c>
      <c r="C7" s="11" t="s">
        <v>102</v>
      </c>
      <c r="D7" s="7" t="s">
        <v>103</v>
      </c>
      <c r="E7" s="7"/>
    </row>
    <row r="8" customFormat="false" ht="45.75" hidden="false" customHeight="true" outlineLevel="0" collapsed="false">
      <c r="A8" s="5" t="s">
        <v>104</v>
      </c>
      <c r="B8" s="16" t="s">
        <v>93</v>
      </c>
      <c r="C8" s="11" t="s">
        <v>105</v>
      </c>
      <c r="D8" s="7" t="s">
        <v>106</v>
      </c>
      <c r="E8" s="7" t="s">
        <v>107</v>
      </c>
    </row>
    <row r="9" customFormat="false" ht="45.75" hidden="false" customHeight="true" outlineLevel="0" collapsed="false">
      <c r="A9" s="5" t="s">
        <v>108</v>
      </c>
      <c r="B9" s="16" t="s">
        <v>93</v>
      </c>
      <c r="C9" s="11" t="s">
        <v>109</v>
      </c>
      <c r="D9" s="7" t="s">
        <v>110</v>
      </c>
      <c r="E9" s="7" t="s">
        <v>111</v>
      </c>
    </row>
    <row r="10" customFormat="false" ht="45.75" hidden="false" customHeight="true" outlineLevel="0" collapsed="false">
      <c r="A10" s="5" t="s">
        <v>112</v>
      </c>
      <c r="B10" s="16" t="s">
        <v>93</v>
      </c>
      <c r="C10" s="11" t="s">
        <v>113</v>
      </c>
      <c r="D10" s="7" t="s">
        <v>114</v>
      </c>
      <c r="E10" s="7" t="s">
        <v>115</v>
      </c>
    </row>
    <row r="11" customFormat="false" ht="45.75" hidden="false" customHeight="true" outlineLevel="0" collapsed="false">
      <c r="A11" s="5" t="s">
        <v>116</v>
      </c>
      <c r="B11" s="16" t="s">
        <v>93</v>
      </c>
      <c r="C11" s="11" t="s">
        <v>117</v>
      </c>
      <c r="D11" s="7" t="s">
        <v>118</v>
      </c>
      <c r="E11" s="7"/>
    </row>
    <row r="12" customFormat="false" ht="45.75" hidden="false" customHeight="true" outlineLevel="0" collapsed="false">
      <c r="A12" s="5" t="s">
        <v>119</v>
      </c>
      <c r="B12" s="11" t="s">
        <v>120</v>
      </c>
      <c r="C12" s="11" t="s">
        <v>121</v>
      </c>
      <c r="D12" s="7" t="s">
        <v>122</v>
      </c>
      <c r="E12" s="7" t="s">
        <v>123</v>
      </c>
    </row>
    <row r="13" customFormat="false" ht="45.75" hidden="false" customHeight="true" outlineLevel="0" collapsed="false">
      <c r="A13" s="5" t="s">
        <v>124</v>
      </c>
      <c r="B13" s="11" t="s">
        <v>125</v>
      </c>
      <c r="C13" s="11" t="s">
        <v>126</v>
      </c>
      <c r="D13" s="7" t="s">
        <v>127</v>
      </c>
      <c r="E13" s="7" t="s">
        <v>128</v>
      </c>
    </row>
    <row r="14" customFormat="false" ht="45.75" hidden="false" customHeight="true" outlineLevel="0" collapsed="false">
      <c r="A14" s="5" t="s">
        <v>129</v>
      </c>
      <c r="B14" s="11" t="s">
        <v>125</v>
      </c>
      <c r="C14" s="11" t="s">
        <v>130</v>
      </c>
      <c r="D14" s="7" t="s">
        <v>131</v>
      </c>
      <c r="E14" s="7" t="s">
        <v>132</v>
      </c>
    </row>
    <row r="15" customFormat="false" ht="45.75" hidden="false" customHeight="true" outlineLevel="0" collapsed="false">
      <c r="A15" s="5" t="s">
        <v>133</v>
      </c>
      <c r="B15" s="11" t="s">
        <v>134</v>
      </c>
      <c r="C15" s="11" t="s">
        <v>135</v>
      </c>
      <c r="D15" s="7" t="s">
        <v>136</v>
      </c>
      <c r="E15" s="7" t="s">
        <v>137</v>
      </c>
    </row>
    <row r="16" customFormat="false" ht="45.75" hidden="false" customHeight="true" outlineLevel="0" collapsed="false">
      <c r="A16" s="5" t="s">
        <v>138</v>
      </c>
      <c r="B16" s="11" t="s">
        <v>125</v>
      </c>
      <c r="C16" s="11" t="s">
        <v>139</v>
      </c>
      <c r="D16" s="7" t="s">
        <v>140</v>
      </c>
      <c r="E16" s="7" t="s">
        <v>141</v>
      </c>
    </row>
    <row r="17" customFormat="false" ht="45.75" hidden="false" customHeight="true" outlineLevel="0" collapsed="false">
      <c r="A17" s="5" t="s">
        <v>142</v>
      </c>
      <c r="B17" s="11" t="s">
        <v>125</v>
      </c>
      <c r="C17" s="11" t="s">
        <v>143</v>
      </c>
      <c r="D17" s="7" t="s">
        <v>144</v>
      </c>
      <c r="E17" s="7" t="s">
        <v>145</v>
      </c>
    </row>
    <row r="19" customFormat="false" ht="15" hidden="false" customHeight="false" outlineLevel="0" collapsed="false">
      <c r="A19" s="5" t="s">
        <v>146</v>
      </c>
      <c r="B19" s="11" t="s">
        <v>147</v>
      </c>
      <c r="C19" s="11"/>
      <c r="D19" s="11"/>
      <c r="E19" s="11"/>
    </row>
  </sheetData>
  <mergeCells count="1">
    <mergeCell ref="B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86"/>
  </cols>
  <sheetData>
    <row r="1" customFormat="false" ht="17.35" hidden="false" customHeight="false" outlineLevel="0" collapsed="false">
      <c r="A1" s="1" t="s">
        <v>148</v>
      </c>
    </row>
    <row r="4" customFormat="false" ht="30" hidden="false" customHeight="true" outlineLevel="0" collapsed="false">
      <c r="A4" s="4" t="s">
        <v>149</v>
      </c>
      <c r="B4" s="4" t="s">
        <v>150</v>
      </c>
      <c r="C4" s="4" t="s">
        <v>151</v>
      </c>
    </row>
    <row r="5" customFormat="false" ht="30" hidden="false" customHeight="true" outlineLevel="0" collapsed="false">
      <c r="A5" s="5" t="s">
        <v>152</v>
      </c>
      <c r="B5" s="11" t="s">
        <v>153</v>
      </c>
      <c r="C5" s="7" t="s">
        <v>154</v>
      </c>
    </row>
    <row r="6" customFormat="false" ht="30" hidden="false" customHeight="true" outlineLevel="0" collapsed="false">
      <c r="A6" s="5" t="s">
        <v>155</v>
      </c>
      <c r="B6" s="11" t="s">
        <v>156</v>
      </c>
      <c r="C6" s="7" t="s">
        <v>157</v>
      </c>
    </row>
    <row r="7" customFormat="false" ht="30" hidden="false" customHeight="true" outlineLevel="0" collapsed="false">
      <c r="A7" s="5" t="s">
        <v>158</v>
      </c>
      <c r="B7" s="11" t="s">
        <v>159</v>
      </c>
      <c r="C7" s="7" t="s">
        <v>160</v>
      </c>
    </row>
    <row r="8" customFormat="false" ht="30" hidden="false" customHeight="true" outlineLevel="0" collapsed="false">
      <c r="A8" s="5" t="s">
        <v>161</v>
      </c>
      <c r="B8" s="11" t="s">
        <v>162</v>
      </c>
      <c r="C8" s="7" t="s">
        <v>163</v>
      </c>
    </row>
    <row r="9" customFormat="false" ht="30" hidden="false" customHeight="true" outlineLevel="0" collapsed="false">
      <c r="A9" s="5" t="s">
        <v>164</v>
      </c>
      <c r="B9" s="11" t="s">
        <v>165</v>
      </c>
      <c r="C9" s="7" t="s">
        <v>166</v>
      </c>
    </row>
    <row r="10" customFormat="false" ht="30" hidden="false" customHeight="true" outlineLevel="0" collapsed="false">
      <c r="A10" s="5" t="s">
        <v>167</v>
      </c>
      <c r="B10" s="11" t="s">
        <v>168</v>
      </c>
      <c r="C10" s="7" t="s">
        <v>169</v>
      </c>
    </row>
    <row r="11" customFormat="false" ht="30" hidden="false" customHeight="true" outlineLevel="0" collapsed="false">
      <c r="A11" s="5" t="s">
        <v>170</v>
      </c>
      <c r="B11" s="11" t="s">
        <v>171</v>
      </c>
      <c r="C11" s="7" t="s">
        <v>172</v>
      </c>
    </row>
    <row r="12" customFormat="false" ht="30" hidden="false" customHeight="true" outlineLevel="0" collapsed="false">
      <c r="A12" s="5" t="s">
        <v>173</v>
      </c>
      <c r="B12" s="11" t="s">
        <v>174</v>
      </c>
      <c r="C12" s="7" t="s">
        <v>175</v>
      </c>
    </row>
    <row r="13" customFormat="false" ht="30" hidden="false" customHeight="true" outlineLevel="0" collapsed="false">
      <c r="A13" s="5" t="s">
        <v>176</v>
      </c>
      <c r="B13" s="11" t="s">
        <v>177</v>
      </c>
      <c r="C13" s="7"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2026-09-29T08:06:05Z</dcterms:created>
  <dc:creator>openpyxl</dc:creator>
  <dc:description/>
  <dc:language>en-US</dc:language>
  <cp:lastModifiedBy/>
  <dcterms:modified xsi:type="dcterms:W3CDTF">2026-09-29T08:06:05Z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